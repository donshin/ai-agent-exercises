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Chang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<sst xmlns="http://schemas.openxmlformats.org/spreadsheetml/2006/main" count="43" uniqueCount="41">
  <si>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Project Riverside — Budget</t>
  </si>
  <si>
    <t xml:space="preserve">Last updated 10/9/2026 — JE</t>
  </si>
  <si>
    <t xml:space="preserve">Line item</t>
  </si>
  <si>
    <t xml:space="preserve">Vendor</t>
  </si>
  <si>
    <t xml:space="preserve">Budgeted</t>
  </si>
  <si>
    <t xml:space="preserve">Committed</t>
  </si>
  <si>
    <t xml:space="preserve">Remaining</t>
  </si>
  <si>
    <t xml:space="preserve">Notes</t>
  </si>
  <si>
    <t xml:space="preserve">Movers</t>
  </si>
  <si>
    <t xml:space="preserve">Swift Crate Movers</t>
  </si>
  <si>
    <t xml:space="preserve">quote pending</t>
  </si>
  <si>
    <t xml:space="preserve">Network cabling</t>
  </si>
  <si>
    <t xml:space="preserve">NetLink</t>
  </si>
  <si>
    <t xml:space="preserve">SOW signed 10/9 — 220 drops + 8 PoE switches</t>
  </si>
  <si>
    <t xml:space="preserve">Badge access</t>
  </si>
  <si>
    <t xml:space="preserve">Keystone</t>
  </si>
  <si>
    <t xml:space="preserve">PO signed — 14 readers, 2 controllers</t>
  </si>
  <si>
    <t xml:space="preserve">Help desk software (yr 1)</t>
  </si>
  <si>
    <t xml:space="preserve">HelpRoute</t>
  </si>
  <si>
    <t xml:space="preserve">annual subscription, invoiced 10/1</t>
  </si>
  <si>
    <t xml:space="preserve">IT asset disposal</t>
  </si>
  <si>
    <t xml:space="preserve">ReCircuit</t>
  </si>
  <si>
    <t xml:space="preserve">flat fee, pickup sched 10/14</t>
  </si>
  <si>
    <t xml:space="preserve">Furniture &amp; fit-out</t>
  </si>
  <si>
    <t xml:space="preserve">(Facilities)</t>
  </si>
  <si>
    <t xml:space="preserve">Facilities (Hank) tracking</t>
  </si>
  <si>
    <t xml:space="preserve">New monitors &amp; docks</t>
  </si>
  <si>
    <t xml:space="preserve">PO 10/5, delivery ETA ~10/14</t>
  </si>
  <si>
    <t xml:space="preserve">Contingency</t>
  </si>
  <si>
    <t xml:space="preserve">Finance approval req'd to use</t>
  </si>
  <si>
    <t xml:space="preserve">TOTAL</t>
  </si>
  <si>
    <t xml:space="preserve">Date</t>
  </si>
  <si>
    <t xml:space="preserve">Change</t>
  </si>
  <si>
    <t xml:space="preserve">By</t>
  </si>
  <si>
    <t xml:space="preserve">9/18/2026</t>
  </si>
  <si>
    <t xml:space="preserve">Initial budget lines from plan v2 draft; numbers from Gloria</t>
  </si>
  <si>
    <t xml:space="preserve">JE</t>
  </si>
  <si>
    <t xml:space="preserve">9/30/2026</t>
  </si>
  <si>
    <t xml:space="preserve">Added HelpRoute yr 1 subscription; contingency set at $15,000 per Dana</t>
  </si>
  <si>
    <t xml:space="preserve">10/9/2026</t>
  </si>
  <si>
    <t xml:space="preserve">Updated committed: NetLink SOW, Keystone + ReCircuit POs, monitors/docks PO. Movers still $0 - waiting on Swift Crate revised quote after today's walkthrough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</si>
</sst>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A5F"/>
      </top>
      <bottom style="double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3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3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6" t="n">
        <v>38000</v>
      </c>
      <c r="D5" s="6" t="n">
        <v>0</v>
      </c>
      <c r="E5" s="6" t="n">
        <f aca="false">C5-D5</f>
        <v>38000</v>
      </c>
      <c r="F5" s="5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6" t="n">
        <v>52000</v>
      </c>
      <c r="D6" s="6" t="n">
        <v>49800</v>
      </c>
      <c r="E6" s="6" t="n">
        <f aca="false">C6-D6</f>
        <v>2200</v>
      </c>
      <c r="F6" s="5" t="s">
        <v>13</v>
      </c>
    </row>
    <row r="7" customFormat="false" ht="15" hidden="false" customHeight="false" outlineLevel="0" collapsed="false">
      <c r="A7" s="5" t="s">
        <v>14</v>
      </c>
      <c r="B7" s="5" t="s">
        <v>15</v>
      </c>
      <c r="C7" s="6" t="n">
        <v>18500</v>
      </c>
      <c r="D7" s="6" t="n">
        <v>18500</v>
      </c>
      <c r="E7" s="6" t="n">
        <f aca="false">C7-D7</f>
        <v>0</v>
      </c>
      <c r="F7" s="5" t="s">
        <v>16</v>
      </c>
    </row>
    <row r="8" customFormat="false" ht="15" hidden="false" customHeight="false" outlineLevel="0" collapsed="false">
      <c r="A8" s="5" t="s">
        <v>17</v>
      </c>
      <c r="B8" s="5" t="s">
        <v>18</v>
      </c>
      <c r="C8" s="6" t="n">
        <v>9600</v>
      </c>
      <c r="D8" s="6" t="n">
        <v>9600</v>
      </c>
      <c r="E8" s="6" t="n">
        <f aca="false">C8-D8</f>
        <v>0</v>
      </c>
      <c r="F8" s="5" t="s">
        <v>19</v>
      </c>
    </row>
    <row r="9" customFormat="false" ht="15" hidden="false" customHeight="false" outlineLevel="0" collapsed="false">
      <c r="A9" s="5" t="s">
        <v>20</v>
      </c>
      <c r="B9" s="5" t="s">
        <v>21</v>
      </c>
      <c r="C9" s="6" t="n">
        <v>3200</v>
      </c>
      <c r="D9" s="6" t="n">
        <v>3200</v>
      </c>
      <c r="E9" s="6" t="n">
        <f aca="false">C9-D9</f>
        <v>0</v>
      </c>
      <c r="F9" s="5" t="s">
        <v>22</v>
      </c>
    </row>
    <row r="10" customFormat="false" ht="15" hidden="false" customHeight="false" outlineLevel="0" collapsed="false">
      <c r="A10" s="5" t="s">
        <v>23</v>
      </c>
      <c r="B10" s="5" t="s">
        <v>24</v>
      </c>
      <c r="C10" s="6" t="n">
        <v>64000</v>
      </c>
      <c r="D10" s="6" t="n">
        <v>58250</v>
      </c>
      <c r="E10" s="6" t="n">
        <f aca="false">C10-D10</f>
        <v>5750</v>
      </c>
      <c r="F10" s="5" t="s">
        <v>25</v>
      </c>
    </row>
    <row r="11" customFormat="false" ht="15" hidden="false" customHeight="false" outlineLevel="0" collapsed="false">
      <c r="A11" s="5" t="s">
        <v>26</v>
      </c>
      <c r="B11" s="5"/>
      <c r="C11" s="6" t="n">
        <v>21000</v>
      </c>
      <c r="D11" s="6" t="n">
        <v>19480</v>
      </c>
      <c r="E11" s="6" t="n">
        <f aca="false">C11-D11</f>
        <v>1520</v>
      </c>
      <c r="F11" s="5" t="s">
        <v>27</v>
      </c>
    </row>
    <row r="12" customFormat="false" ht="15" hidden="false" customHeight="false" outlineLevel="0" collapsed="false">
      <c r="A12" s="5" t="s">
        <v>28</v>
      </c>
      <c r="B12" s="5"/>
      <c r="C12" s="6" t="n">
        <v>15000</v>
      </c>
      <c r="D12" s="6" t="n">
        <v>0</v>
      </c>
      <c r="E12" s="6" t="n">
        <f aca="false">C12-D12</f>
        <v>15000</v>
      </c>
      <c r="F12" s="5" t="s">
        <v>29</v>
      </c>
    </row>
    <row r="13" customFormat="false" ht="15" hidden="false" customHeight="false" outlineLevel="0" collapsed="false">
      <c r="A13" s="7" t="s">
        <v>30</v>
      </c>
      <c r="B13" s="7"/>
      <c r="C13" s="8" t="n">
        <f aca="false">SUM(C5:C12)</f>
        <v>221300</v>
      </c>
      <c r="D13" s="8" t="n">
        <f aca="false">SUM(D5:D12)</f>
        <v>158830</v>
      </c>
      <c r="E13" s="8" t="n">
        <f aca="false">SUM(E5:E12)</f>
        <v>62470</v>
      </c>
      <c r="F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3" min="3" style="0" width="6"/>
  </cols>
  <sheetData>
    <row r="1" customFormat="false" ht="15" hidden="false" customHeight="false" outlineLevel="0" collapsed="false">
      <c r="A1" s="9" t="s">
        <v>31</v>
      </c>
      <c r="B1" s="9" t="s">
        <v>32</v>
      </c>
      <c r="C1" s="9" t="s">
        <v>33</v>
      </c>
    </row>
    <row r="2" customFormat="false" ht="15" hidden="false" customHeight="false" outlineLevel="0" collapsed="false">
      <c r="A2" s="10" t="s">
        <v>34</v>
      </c>
      <c r="B2" s="11" t="s">
        <v>35</v>
      </c>
      <c r="C2" s="10" t="s">
        <v>36</v>
      </c>
    </row>
    <row r="3" customFormat="false" ht="15" hidden="false" customHeight="false" outlineLevel="0" collapsed="false">
      <c r="A3" s="10" t="s">
        <v>37</v>
      </c>
      <c r="B3" s="11" t="s">
        <v>38</v>
      </c>
      <c r="C3" s="10" t="s">
        <v>36</v>
      </c>
    </row>
    <row r="4" customFormat="false" ht="23.85" hidden="false" customHeight="false" outlineLevel="0" collapsed="false">
      <c r="A4" s="10" t="s">
        <v>39</v>
      </c>
      <c r="B4" s="11" t="s">
        <v>40</v>
      </c>
      <c r="C4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2026-09-18T15:22:00Z</dcterms:created>
  <dc:creator>Jordan Ellis</dc:creator>
  <dc:description/>
  <dc:language>en-US</dc:language>
  <cp:lastModifiedBy>Jordan Ellis</cp:lastModifiedBy>
  <dcterms:modified xsi:type="dcterms:W3CDTF">2026-10-09T20:47:00Z</dcterms:modified>
  <cp:revision>0</cp:revision>
  <dc:subject/>
  <dc:title>Riverside budget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